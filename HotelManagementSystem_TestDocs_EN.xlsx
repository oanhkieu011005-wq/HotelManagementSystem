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PLAN" sheetId="1" r:id="rId1"/>
    <sheet name="TEST CASES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<sst xmlns="http://schemas.openxmlformats.org/spreadsheetml/2006/main" count="312" uniqueCount="214">
  <si>
    <t>TEST PLAN – Hotel Management System</t>
  </si>
  <si>
    <t>1. PROJECT INFORMATION</t>
  </si>
  <si>
    <t>Project Name</t>
  </si>
  <si>
    <t>Hotel Management System</t>
  </si>
  <si>
    <t>Technology</t>
  </si>
  <si>
    <t>C# WinForms (.NET) + SQL Server (HotelDB)</t>
  </si>
  <si>
    <t>Project Owner</t>
  </si>
  <si>
    <t>[Supervisor / Team Name]</t>
  </si>
  <si>
    <t>Version</t>
  </si>
  <si>
    <t>v1.0</t>
  </si>
  <si>
    <t>Test Environment</t>
  </si>
  <si>
    <t>Windows 11, SQL Server Studio 2022, Visual Studio 2022</t>
  </si>
  <si>
    <t>2. TEST SCOPE</t>
  </si>
  <si>
    <t>Module</t>
  </si>
  <si>
    <t>Description</t>
  </si>
  <si>
    <t>Login &amp; Authorization</t>
  </si>
  <si>
    <t>Account authentication, role-based access control</t>
  </si>
  <si>
    <t>✔</t>
  </si>
  <si>
    <t>High</t>
  </si>
  <si>
    <t>Room Management</t>
  </si>
  <si>
    <t>Add / Edit / Delete rooms; update room status</t>
  </si>
  <si>
    <t>Room Type Management</t>
  </si>
  <si>
    <t>CRUD room types, capacity</t>
  </si>
  <si>
    <t>Medium</t>
  </si>
  <si>
    <t>Customer Management</t>
  </si>
  <si>
    <t>CRUD customers, CCCD uniqueness validation</t>
  </si>
  <si>
    <t>Booking</t>
  </si>
  <si>
    <t>Create bookings, check-in, check-out</t>
  </si>
  <si>
    <t>Service Management</t>
  </si>
  <si>
    <t>CRUD services, pricing</t>
  </si>
  <si>
    <t>Service Usage</t>
  </si>
  <si>
    <t>Record services used per booking</t>
  </si>
  <si>
    <t>Invoice</t>
  </si>
  <si>
    <t>Calculate &amp; generate payment invoices</t>
  </si>
  <si>
    <t>Database Constraints</t>
  </si>
  <si>
    <t>Triggers, Stored Procedures, Views, CHECK constraints</t>
  </si>
  <si>
    <t>3. TEST TYPES</t>
  </si>
  <si>
    <t>Test Type</t>
  </si>
  <si>
    <t>Functional Testing</t>
  </si>
  <si>
    <t>Verify each CRUD feature, booking workflow, and payment logic</t>
  </si>
  <si>
    <t>Integration Testing</t>
  </si>
  <si>
    <t>End-to-end flow: Booking → Service Usage → Surcharge → Invoice</t>
  </si>
  <si>
    <t>Database Testing</t>
  </si>
  <si>
    <t>Validate constraints, triggers, stored procedures, and views</t>
  </si>
  <si>
    <t>Boundary Testing</t>
  </si>
  <si>
    <t>CheckOut ≤ CheckIn, Price = 0, negative quantities</t>
  </si>
  <si>
    <t>Security Testing</t>
  </si>
  <si>
    <t>Wrong password login, accessing unauthorized features</t>
  </si>
  <si>
    <t>Regression Testing</t>
  </si>
  <si>
    <t>Re-test after BUG-001 and BUG-002 fixes</t>
  </si>
  <si>
    <t>4. ENTRY &amp; EXIT CRITERIA</t>
  </si>
  <si>
    <t>Entry Criteria</t>
  </si>
  <si>
    <t>• SQL Server is installed and HotelDB is running
• C# build compiles successfully with no errors
• Sample data has been imported into the DB</t>
  </si>
  <si>
    <t>Exit Criteria</t>
  </si>
  <si>
    <t>• ≥ 95% of test cases passed
• 0 Blocker or Critical bugs remaining open
• All High-severity bugs are fixed or have an approved workaround</t>
  </si>
  <si>
    <t>TEST CASES – Hotel Management System</t>
  </si>
  <si>
    <t>TC ID</t>
  </si>
  <si>
    <t>Test Case Name</t>
  </si>
  <si>
    <t>Preconditions</t>
  </si>
  <si>
    <t>Test Steps</t>
  </si>
  <si>
    <t>Expected Result</t>
  </si>
  <si>
    <t>Priority</t>
  </si>
  <si>
    <t>Type</t>
  </si>
  <si>
    <t>Status</t>
  </si>
  <si>
    <t>TC-001</t>
  </si>
  <si>
    <t>Login</t>
  </si>
  <si>
    <t>Successful login with valid credentials</t>
  </si>
  <si>
    <t>DB contains user NV001/NV001 with role CV01 (Admin)</t>
  </si>
  <si>
    <t>1. Open frmLogin
2. Enter Username: NV001
3. Enter Password: NV001
4. Click Login</t>
  </si>
  <si>
    <t>Login succeeds; frmMain opens with Admin role</t>
  </si>
  <si>
    <t>Functional</t>
  </si>
  <si>
    <t>Pass</t>
  </si>
  <si>
    <t>TC-002</t>
  </si>
  <si>
    <t>Login fails with wrong password</t>
  </si>
  <si>
    <t>DB contains user NV001</t>
  </si>
  <si>
    <t>1. Enter Username: NV001
2. Enter Password: wrongpass
3. Click Login</t>
  </si>
  <si>
    <t>Error message shown; access denied</t>
  </si>
  <si>
    <t>Security</t>
  </si>
  <si>
    <t>TC-003</t>
  </si>
  <si>
    <t>Login with blank Username field</t>
  </si>
  <si>
    <t>Application is running</t>
  </si>
  <si>
    <t>1. Leave Username blank
2. Enter any password
3. Click Login</t>
  </si>
  <si>
    <t>Warning message 'Please enter username' is displayed</t>
  </si>
  <si>
    <t>Boundary</t>
  </si>
  <si>
    <t>TC-004</t>
  </si>
  <si>
    <t>Add a new valid room</t>
  </si>
  <si>
    <t>RoomType and Status records exist in DB</t>
  </si>
  <si>
    <t>1. Open frmQLPhong
2. Fill MaP, select MaLP, enter Gia &gt; 0
3. Select status 'Trống'
4. Click Add</t>
  </si>
  <si>
    <t>Room saved to DB; list refreshes correctly</t>
  </si>
  <si>
    <t>TC-005</t>
  </si>
  <si>
    <t>Add room with Price = 0 (violates CHECK constraint)</t>
  </si>
  <si>
    <t>frmQLPhong is open</t>
  </si>
  <si>
    <t>1. Enter a new MaP
2. Enter Gia = 0
3. Click Add</t>
  </si>
  <si>
    <t>System shows error; room NOT saved (CK_PHONG_Gia blocks insert)</t>
  </si>
  <si>
    <t>TC-006</t>
  </si>
  <si>
    <t>Delete an occupied room (status TT01)</t>
  </si>
  <si>
    <t>Room DB0302 has status TT01 (Occupied)</t>
  </si>
  <si>
    <t>1. Select room DB0302
2. Click Delete</t>
  </si>
  <si>
    <t>System rejects deletion and displays a warning message</t>
  </si>
  <si>
    <t>Fail</t>
  </si>
  <si>
    <t>TC-007</t>
  </si>
  <si>
    <t>Add customer with a duplicate CCCD</t>
  </si>
  <si>
    <t>KH0002 already has CCCD = '222233444'</t>
  </si>
  <si>
    <t>1. Open frmKhachHang
2. Enter CCCD: 222233444
3. Click Add</t>
  </si>
  <si>
    <t>UNIQUE constraint error; customer NOT saved</t>
  </si>
  <si>
    <t>TC-008</t>
  </si>
  <si>
    <t>Add a valid new customer</t>
  </si>
  <si>
    <t>App running, DB connected</t>
  </si>
  <si>
    <t>1. Fill HoTen, NgaySinh, new CCCD, Sdt
2. Click Add</t>
  </si>
  <si>
    <t>Customer saved successfully; list refreshes</t>
  </si>
  <si>
    <t>TC-009</t>
  </si>
  <si>
    <t>Create a valid booking</t>
  </si>
  <si>
    <t>Room TW0401 is Available; customer KH0009 exists</t>
  </si>
  <si>
    <t>1. Open frmDatPhong
2. Select KH0009 and room TW0401
3. CheckIn: 2024-02-01, CheckOut: 2024-02-03
4. Click Book</t>
  </si>
  <si>
    <t>Booking saved; room status changes to TT02 (Occupied)</t>
  </si>
  <si>
    <t>TC-010</t>
  </si>
  <si>
    <t>CheckOut ≤ CheckIn (violates CK_DATPHONG_NgayCheckOut)</t>
  </si>
  <si>
    <t>frmDatPhong is open</t>
  </si>
  <si>
    <t>1. Set CheckIn: 2024-02-05
2. Set CheckOut: 2024-02-03
3. Click Book</t>
  </si>
  <si>
    <t>Constraint error; booking NOT saved</t>
  </si>
  <si>
    <t>TC-011</t>
  </si>
  <si>
    <t>SoNguoi exceeds room type capacity (trigger check)</t>
  </si>
  <si>
    <t>Room KG0301 belongs to type KG (max 2 persons)</t>
  </si>
  <si>
    <t>1. Select room KG0301
2. Enter SoNguoi = 5
3. Click Book</t>
  </si>
  <si>
    <t>Trigger trg_KiemTraSoNguoi raises error; booking rolled back</t>
  </si>
  <si>
    <t>Database</t>
  </si>
  <si>
    <t>TC-012</t>
  </si>
  <si>
    <t>Add service with SoLuong = 0</t>
  </si>
  <si>
    <t>Booking DP0002 is active</t>
  </si>
  <si>
    <t>1. Open frmSDDichVu
2. Select DP0002 and DV001
3. Enter SoLuong = 0
4. Click Add</t>
  </si>
  <si>
    <t>CK_SDDICHVU_SoLuong error; record NOT saved</t>
  </si>
  <si>
    <t>TC-013</t>
  </si>
  <si>
    <t>Calculate invoice DP0016 via Stored Procedure</t>
  </si>
  <si>
    <t>DP0016 has complete surcharge and service data</t>
  </si>
  <si>
    <t>1. Execute: EXEC sp_TinhHoaDon 'DP0016'
2. Verify returned result</t>
  </si>
  <si>
    <t>Returns: TienPhong=500000, TienPhuThu=2900000, correct ThanhToan total</t>
  </si>
  <si>
    <t>TC-014</t>
  </si>
  <si>
    <t>One booking can only have one invoice (UNIQUE constraint)</t>
  </si>
  <si>
    <t>Invoice HD0016 already exists for booking DP0016</t>
  </si>
  <si>
    <t>1. INSERT second HOADON with idDatPhong = 'DP0016'
2. Check DB</t>
  </si>
  <si>
    <t>UNIQUE constraint error; second invoice NOT created</t>
  </si>
  <si>
    <t>TC-015</t>
  </si>
  <si>
    <t>Authorization</t>
  </si>
  <si>
    <t>CV03 (Receptionist) cannot access Authorization screen</t>
  </si>
  <si>
    <t>Logged in as NV006 (role CV03)</t>
  </si>
  <si>
    <t>1. Login as NV006/NV006
2. Attempt to open frmPhanQuyen</t>
  </si>
  <si>
    <t>Authorization menu hidden or 'Access Denied' error shown</t>
  </si>
  <si>
    <t>Not Run</t>
  </si>
  <si>
    <t>TC-016</t>
  </si>
  <si>
    <t>View vw_DoanhThuTheoThang returns correct monthly revenue</t>
  </si>
  <si>
    <t>Invoice HD0016 was paid in November 2022</t>
  </si>
  <si>
    <t>1. Run: SELECT * FROM vw_DoanhThuTheoThang
2. Verify row for Year=2022, Month=11</t>
  </si>
  <si>
    <t>Returns 1 row with SoHoaDon=1 and DoanhThu &gt; 0</t>
  </si>
  <si>
    <t>SUMMARY</t>
  </si>
  <si>
    <t>BUG REPORT – Hotel Management System</t>
  </si>
  <si>
    <t>Bug ID</t>
  </si>
  <si>
    <t>Bug Title</t>
  </si>
  <si>
    <t>Severity</t>
  </si>
  <si>
    <t>Environment</t>
  </si>
  <si>
    <t>Steps to Reproduce</t>
  </si>
  <si>
    <t>Actual Result</t>
  </si>
  <si>
    <t>Fixed In</t>
  </si>
  <si>
    <t>Notes</t>
  </si>
  <si>
    <t>BUG-001</t>
  </si>
  <si>
    <t>Missing customer KH0001 causes orphan booking DP0005</t>
  </si>
  <si>
    <t>Critical</t>
  </si>
  <si>
    <t>SQL Server 2022</t>
  </si>
  <si>
    <t>1. Import original QL_KhachSan.sql
2. Check DATPHONG table row DP0005
3. JOIN DATPHONG with KHACHHANG on MaKH</t>
  </si>
  <si>
    <t>DP0005 has no matching customer; JOIN query returns NULL for MaKH — orphaned foreign key</t>
  </si>
  <si>
    <t>DP0005 must be linked to a valid customer record KH0001</t>
  </si>
  <si>
    <t>Fixed</t>
  </si>
  <si>
    <t>v1.1</t>
  </si>
  <si>
    <t>KH0001 added to KHACHHANG table</t>
  </si>
  <si>
    <t>BUG-002</t>
  </si>
  <si>
    <t>Duplicate service name 'Ăn tối' in DV005 and DV007</t>
  </si>
  <si>
    <t>Major</t>
  </si>
  <si>
    <t>1. Import original DB
2. Run: SELECT TenDV, COUNT(*) FROM DICHVU GROUP BY TenDV HAVING COUNT(*) &gt; 1</t>
  </si>
  <si>
    <t>Query returns 'Ăn tối' with count = 2 (DV005 and DV007)</t>
  </si>
  <si>
    <t>No duplicate service names; query returns 0 rows</t>
  </si>
  <si>
    <t>DV007 deleted from DICHVU table</t>
  </si>
  <si>
    <t>BUG-003</t>
  </si>
  <si>
    <t>Deleting an occupied room is not blocked by the UI</t>
  </si>
  <si>
    <t>C# WinForms – frmQLPhong</t>
  </si>
  <si>
    <t>1. Login as Admin
2. Open frmQLPhong
3. Select room DB0302 (status: Occupied)
4. Click Delete</t>
  </si>
  <si>
    <t>Room is deleted or a raw SQL exception is shown to the user without a friendly message</t>
  </si>
  <si>
    <t>System shows 'Cannot delete an occupied room' and cancels the operation</t>
  </si>
  <si>
    <t>Open</t>
  </si>
  <si>
    <t>—</t>
  </si>
  <si>
    <t>UI-layer validation required before calling DB delete</t>
  </si>
  <si>
    <t>BUG-004</t>
  </si>
  <si>
    <t>User passwords stored as plain text in USERS table</t>
  </si>
  <si>
    <t>Security / Login</t>
  </si>
  <si>
    <t>SQL Server – USERS table</t>
  </si>
  <si>
    <t>1. Run: SELECT Username, Password FROM USERS
2. Observe the Password column values</t>
  </si>
  <si>
    <t>Passwords are visible as plain text (e.g., NV001, NV002)</t>
  </si>
  <si>
    <t>Passwords must be hashed (e.g., BCrypt or SHA-256) before being stored in the DB</t>
  </si>
  <si>
    <t>Recommend BCrypt or SHA-256 hashing; plain text is a critical security risk</t>
  </si>
  <si>
    <t>BUG-005</t>
  </si>
  <si>
    <t>frmSDDichVu allows negative SoLuong input</t>
  </si>
  <si>
    <t>C# WinForms – frmSDDichVu</t>
  </si>
  <si>
    <t>1. Open frmSDDichVu
2. Select a booking and service
3. Enter SoLuong = -1
4. Click Add</t>
  </si>
  <si>
    <t>Raw SQL CHECK constraint error is thrown with no user-friendly message</t>
  </si>
  <si>
    <t>UI validates SoLuong &gt; 0 before DB call and displays a clear error message</t>
  </si>
  <si>
    <t>DB constraint (CK_SDDICHVU_SoLuong) works correctly; UI validation is missing</t>
  </si>
  <si>
    <t>BUG-006</t>
  </si>
  <si>
    <t>No confirmation dialog before deleting records</t>
  </si>
  <si>
    <t>All CRUD Forms</t>
  </si>
  <si>
    <t>Minor</t>
  </si>
  <si>
    <t>Low</t>
  </si>
  <si>
    <t>C# WinForms – all management forms</t>
  </si>
  <si>
    <t>1. Open any management form
2. Select any record
3. Click Delete</t>
  </si>
  <si>
    <t>Record is deleted immediately without any confirmation prompt</t>
  </si>
  <si>
    <t>A confirmation dialog 'Are you sure you want to delete?' must appear before deletion</t>
  </si>
  <si>
    <t>UX issue affecting the entire application; risk of accidental data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</si>
</sst>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9"/>
      <color rgb="FFFFFFFF"/>
      <name val="Arial"/>
      <charset val="134"/>
    </font>
    <font>
      <sz val="8"/>
      <name val="Arial"/>
      <charset val="134"/>
    </font>
    <font>
      <b/>
      <sz val="8"/>
      <color rgb="FFFFFFFF"/>
      <name val="Arial"/>
      <charset val="134"/>
    </font>
    <font>
      <b/>
      <sz val="8"/>
      <name val="Arial"/>
      <charset val="134"/>
    </font>
    <font>
      <b/>
      <sz val="8"/>
      <color rgb="FF000000"/>
      <name val="Arial"/>
      <charset val="134"/>
    </font>
    <font>
      <b/>
      <sz val="10"/>
      <color rgb="FFFFFFFF"/>
      <name val="Arial"/>
      <charset val="134"/>
    </font>
    <font>
      <b/>
      <sz val="9"/>
      <color rgb="FFC00000"/>
      <name val="Arial"/>
      <charset val="134"/>
    </font>
    <font>
      <b/>
      <sz val="9"/>
      <color rgb="FF375623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L8" sqref="L8"/>
    </sheetView>
  </sheetViews>
  <sheetFormatPr defaultColWidth="9" defaultRowHeight="14.4"/>
  <cols>
    <col min="1" max="1" width="26" customWidth="1"/>
    <col min="2" max="2" width="30" customWidth="1"/>
    <col min="3" max="8" width="14" customWidth="1"/>
    <col min="9" max="9" width="10" customWidth="1"/>
    <col min="10" max="10" width="12" customWidth="1"/>
  </cols>
  <sheetData>
    <row r="1" ht="38" customHeight="1" spans="1:10">
      <c r="A1" s="16" t="s">
        <v>0</v>
      </c>
    </row>
    <row r="2" ht="22" customHeight="1" spans="1:10">
      <c r="A2" s="22" t="s">
        <v>1</v>
      </c>
    </row>
    <row r="3" ht="18" customHeight="1" spans="1:10">
      <c r="A3" s="23" t="s">
        <v>2</v>
      </c>
      <c r="B3" s="24" t="s">
        <v>3</v>
      </c>
    </row>
    <row r="4" ht="18" customHeight="1" spans="1:10">
      <c r="A4" s="23" t="s">
        <v>4</v>
      </c>
      <c r="B4" s="24" t="s">
        <v>5</v>
      </c>
    </row>
    <row r="5" ht="18" customHeight="1" spans="1:10">
      <c r="A5" s="23" t="s">
        <v>6</v>
      </c>
      <c r="B5" s="24" t="s">
        <v>7</v>
      </c>
    </row>
    <row r="6" ht="18" customHeight="1" spans="1:10">
      <c r="A6" s="23" t="s">
        <v>8</v>
      </c>
      <c r="B6" s="24" t="s">
        <v>9</v>
      </c>
    </row>
    <row r="7" ht="18" customHeight="1" spans="1:10">
      <c r="A7" s="23" t="s">
        <v>10</v>
      </c>
      <c r="B7" s="24" t="s">
        <v>11</v>
      </c>
    </row>
    <row r="9" ht="22" customHeight="1" spans="1:10">
      <c r="A9" s="22" t="s">
        <v>12</v>
      </c>
    </row>
    <row r="10" ht="20" customHeight="1" spans="1:10">
      <c r="A10" s="21" t="s">
        <v>13</v>
      </c>
      <c r="B10" s="21" t="s">
        <v>14</v>
      </c>
      <c r="C10" s="25"/>
      <c r="D10" s="25"/>
      <c r="E10" s="25"/>
      <c r="F10" s="25"/>
      <c r="G10" s="25"/>
      <c r="H10" s="26"/>
    </row>
    <row r="11" ht="18" customHeight="1" spans="1:10">
      <c r="A11" s="24" t="s">
        <v>15</v>
      </c>
      <c r="B11" s="24" t="s">
        <v>16</v>
      </c>
      <c r="I11" s="27" t="s">
        <v>17</v>
      </c>
      <c r="J11" s="28" t="s">
        <v>18</v>
      </c>
    </row>
    <row r="12" ht="18" customHeight="1" spans="1:10">
      <c r="A12" s="29" t="s">
        <v>19</v>
      </c>
      <c r="B12" s="29" t="s">
        <v>20</v>
      </c>
      <c r="I12" s="30" t="s">
        <v>17</v>
      </c>
      <c r="J12" s="28" t="s">
        <v>18</v>
      </c>
    </row>
    <row r="13" ht="18" customHeight="1" spans="1:10">
      <c r="A13" s="24" t="s">
        <v>21</v>
      </c>
      <c r="B13" s="24" t="s">
        <v>22</v>
      </c>
      <c r="I13" s="27" t="s">
        <v>17</v>
      </c>
      <c r="J13" s="31" t="s">
        <v>23</v>
      </c>
    </row>
    <row r="14" ht="18" customHeight="1" spans="1:10">
      <c r="A14" s="29" t="s">
        <v>24</v>
      </c>
      <c r="B14" s="29" t="s">
        <v>25</v>
      </c>
      <c r="I14" s="30" t="s">
        <v>17</v>
      </c>
      <c r="J14" s="28" t="s">
        <v>18</v>
      </c>
    </row>
    <row r="15" ht="18" customHeight="1" spans="1:10">
      <c r="A15" s="24" t="s">
        <v>26</v>
      </c>
      <c r="B15" s="24" t="s">
        <v>27</v>
      </c>
      <c r="I15" s="27" t="s">
        <v>17</v>
      </c>
      <c r="J15" s="28" t="s">
        <v>18</v>
      </c>
    </row>
    <row r="16" ht="18" customHeight="1" spans="1:10">
      <c r="A16" s="29" t="s">
        <v>28</v>
      </c>
      <c r="B16" s="29" t="s">
        <v>29</v>
      </c>
      <c r="I16" s="30" t="s">
        <v>17</v>
      </c>
      <c r="J16" s="31" t="s">
        <v>23</v>
      </c>
    </row>
    <row r="17" ht="18" customHeight="1" spans="1:10">
      <c r="A17" s="24" t="s">
        <v>30</v>
      </c>
      <c r="B17" s="24" t="s">
        <v>31</v>
      </c>
      <c r="I17" s="27" t="s">
        <v>17</v>
      </c>
      <c r="J17" s="31" t="s">
        <v>23</v>
      </c>
    </row>
    <row r="18" ht="18" customHeight="1" spans="1:10">
      <c r="A18" s="29" t="s">
        <v>32</v>
      </c>
      <c r="B18" s="29" t="s">
        <v>33</v>
      </c>
      <c r="I18" s="30" t="s">
        <v>17</v>
      </c>
      <c r="J18" s="28" t="s">
        <v>18</v>
      </c>
    </row>
    <row r="19" ht="18" customHeight="1" spans="1:10">
      <c r="A19" s="24" t="s">
        <v>34</v>
      </c>
      <c r="B19" s="24" t="s">
        <v>35</v>
      </c>
      <c r="I19" s="27" t="s">
        <v>17</v>
      </c>
      <c r="J19" s="28" t="s">
        <v>18</v>
      </c>
    </row>
    <row r="21" ht="22" customHeight="1" spans="1:10">
      <c r="A21" s="22" t="s">
        <v>36</v>
      </c>
    </row>
    <row r="22" ht="20" customHeight="1" spans="1:10">
      <c r="A22" s="21" t="s">
        <v>37</v>
      </c>
      <c r="B22" s="21" t="s">
        <v>14</v>
      </c>
      <c r="C22" s="25"/>
      <c r="D22" s="25"/>
      <c r="E22" s="25"/>
      <c r="F22" s="25"/>
      <c r="G22" s="25"/>
      <c r="H22" s="25"/>
      <c r="I22" s="25"/>
      <c r="J22" s="26"/>
    </row>
    <row r="23" ht="18" customHeight="1" spans="1:10">
      <c r="A23" s="32" t="s">
        <v>38</v>
      </c>
      <c r="B23" s="24" t="s">
        <v>39</v>
      </c>
    </row>
    <row r="24" ht="18" customHeight="1" spans="1:10">
      <c r="A24" s="33" t="s">
        <v>40</v>
      </c>
      <c r="B24" s="29" t="s">
        <v>41</v>
      </c>
    </row>
    <row r="25" ht="18" customHeight="1" spans="1:10">
      <c r="A25" s="32" t="s">
        <v>42</v>
      </c>
      <c r="B25" s="24" t="s">
        <v>43</v>
      </c>
    </row>
    <row r="26" ht="18" customHeight="1" spans="1:10">
      <c r="A26" s="33" t="s">
        <v>44</v>
      </c>
      <c r="B26" s="29" t="s">
        <v>45</v>
      </c>
    </row>
    <row r="27" ht="18" customHeight="1" spans="1:10">
      <c r="A27" s="32" t="s">
        <v>46</v>
      </c>
      <c r="B27" s="24" t="s">
        <v>47</v>
      </c>
    </row>
    <row r="28" ht="18" customHeight="1" spans="1:10">
      <c r="A28" s="33" t="s">
        <v>48</v>
      </c>
      <c r="B28" s="29" t="s">
        <v>49</v>
      </c>
    </row>
    <row r="30" ht="22" customHeight="1" spans="1:10">
      <c r="A30" s="22" t="s">
        <v>50</v>
      </c>
    </row>
    <row r="31" ht="48" customHeight="1" spans="1:10">
      <c r="A31" s="34" t="s">
        <v>51</v>
      </c>
      <c r="B31" s="35" t="s">
        <v>52</v>
      </c>
    </row>
    <row r="32" ht="48" customHeight="1" spans="1:10">
      <c r="A32" s="36" t="s">
        <v>53</v>
      </c>
      <c r="B32" s="37" t="s">
        <v>54</v>
      </c>
    </row>
  </sheetData>
  <mergeCells count="29">
    <mergeCell ref="A1:J1"/>
    <mergeCell ref="A2:J2"/>
    <mergeCell ref="B3:J3"/>
    <mergeCell ref="B4:J4"/>
    <mergeCell ref="B5:J5"/>
    <mergeCell ref="B6:J6"/>
    <mergeCell ref="B7:J7"/>
    <mergeCell ref="A9:J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A21:J21"/>
    <mergeCell ref="B22:J22"/>
    <mergeCell ref="B23:J23"/>
    <mergeCell ref="B24:J24"/>
    <mergeCell ref="B25:J25"/>
    <mergeCell ref="B26:J26"/>
    <mergeCell ref="B27:J27"/>
    <mergeCell ref="B28:J28"/>
    <mergeCell ref="A30:J30"/>
    <mergeCell ref="B31:J31"/>
    <mergeCell ref="B32:J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:J1"/>
    </sheetView>
  </sheetViews>
  <sheetFormatPr defaultColWidth="9" defaultRowHeight="14.4"/>
  <cols>
    <col min="1" max="1" width="9" customWidth="1"/>
    <col min="2" max="2" width="20" customWidth="1"/>
    <col min="3" max="3" width="32" customWidth="1"/>
    <col min="4" max="4" width="30" customWidth="1"/>
    <col min="5" max="6" width="36" customWidth="1"/>
    <col min="7" max="7" width="11" customWidth="1"/>
    <col min="8" max="8" width="14" customWidth="1"/>
    <col min="9" max="10" width="11" customWidth="1"/>
  </cols>
  <sheetData>
    <row r="1" ht="38" customHeight="1" spans="1:9">
      <c r="A1" s="16" t="s">
        <v>55</v>
      </c>
    </row>
    <row r="2" ht="30" customHeight="1" spans="1:9">
      <c r="A2" s="15" t="s">
        <v>56</v>
      </c>
      <c r="B2" s="15" t="s">
        <v>13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</row>
    <row r="3" ht="55" customHeight="1" spans="1:9">
      <c r="A3" s="17" t="s">
        <v>64</v>
      </c>
      <c r="B3" s="18" t="s">
        <v>65</v>
      </c>
      <c r="C3" s="18" t="s">
        <v>66</v>
      </c>
      <c r="D3" s="18" t="s">
        <v>67</v>
      </c>
      <c r="E3" s="18" t="s">
        <v>68</v>
      </c>
      <c r="F3" s="18" t="s">
        <v>69</v>
      </c>
      <c r="G3" s="10" t="s">
        <v>18</v>
      </c>
      <c r="H3" s="17" t="s">
        <v>70</v>
      </c>
      <c r="I3" s="6" t="s">
        <v>71</v>
      </c>
    </row>
    <row r="4" ht="55" customHeight="1" spans="1:9">
      <c r="A4" s="7" t="s">
        <v>72</v>
      </c>
      <c r="B4" s="8" t="s">
        <v>65</v>
      </c>
      <c r="C4" s="8" t="s">
        <v>73</v>
      </c>
      <c r="D4" s="8" t="s">
        <v>74</v>
      </c>
      <c r="E4" s="8" t="s">
        <v>75</v>
      </c>
      <c r="F4" s="8" t="s">
        <v>76</v>
      </c>
      <c r="G4" s="10" t="s">
        <v>18</v>
      </c>
      <c r="H4" s="7" t="s">
        <v>77</v>
      </c>
      <c r="I4" s="6" t="s">
        <v>71</v>
      </c>
    </row>
    <row r="5" ht="55" customHeight="1" spans="1:9">
      <c r="A5" s="17" t="s">
        <v>78</v>
      </c>
      <c r="B5" s="18" t="s">
        <v>65</v>
      </c>
      <c r="C5" s="18" t="s">
        <v>79</v>
      </c>
      <c r="D5" s="18" t="s">
        <v>80</v>
      </c>
      <c r="E5" s="18" t="s">
        <v>81</v>
      </c>
      <c r="F5" s="18" t="s">
        <v>82</v>
      </c>
      <c r="G5" s="10" t="s">
        <v>18</v>
      </c>
      <c r="H5" s="17" t="s">
        <v>83</v>
      </c>
      <c r="I5" s="6" t="s">
        <v>71</v>
      </c>
    </row>
    <row r="6" ht="55" customHeight="1" spans="1:9">
      <c r="A6" s="7" t="s">
        <v>84</v>
      </c>
      <c r="B6" s="8" t="s">
        <v>19</v>
      </c>
      <c r="C6" s="8" t="s">
        <v>85</v>
      </c>
      <c r="D6" s="8" t="s">
        <v>86</v>
      </c>
      <c r="E6" s="8" t="s">
        <v>87</v>
      </c>
      <c r="F6" s="8" t="s">
        <v>88</v>
      </c>
      <c r="G6" s="10" t="s">
        <v>18</v>
      </c>
      <c r="H6" s="7" t="s">
        <v>70</v>
      </c>
      <c r="I6" s="6" t="s">
        <v>71</v>
      </c>
    </row>
    <row r="7" ht="55" customHeight="1" spans="1:9">
      <c r="A7" s="17" t="s">
        <v>89</v>
      </c>
      <c r="B7" s="18" t="s">
        <v>19</v>
      </c>
      <c r="C7" s="18" t="s">
        <v>90</v>
      </c>
      <c r="D7" s="18" t="s">
        <v>91</v>
      </c>
      <c r="E7" s="18" t="s">
        <v>92</v>
      </c>
      <c r="F7" s="18" t="s">
        <v>93</v>
      </c>
      <c r="G7" s="10" t="s">
        <v>18</v>
      </c>
      <c r="H7" s="17" t="s">
        <v>83</v>
      </c>
      <c r="I7" s="6" t="s">
        <v>71</v>
      </c>
    </row>
    <row r="8" ht="55" customHeight="1" spans="1:9">
      <c r="A8" s="7" t="s">
        <v>94</v>
      </c>
      <c r="B8" s="8" t="s">
        <v>19</v>
      </c>
      <c r="C8" s="8" t="s">
        <v>95</v>
      </c>
      <c r="D8" s="8" t="s">
        <v>96</v>
      </c>
      <c r="E8" s="8" t="s">
        <v>97</v>
      </c>
      <c r="F8" s="8" t="s">
        <v>98</v>
      </c>
      <c r="G8" s="10" t="s">
        <v>18</v>
      </c>
      <c r="H8" s="7" t="s">
        <v>70</v>
      </c>
      <c r="I8" s="10" t="s">
        <v>99</v>
      </c>
    </row>
    <row r="9" ht="55" customHeight="1" spans="1:9">
      <c r="A9" s="17" t="s">
        <v>100</v>
      </c>
      <c r="B9" s="18" t="s">
        <v>24</v>
      </c>
      <c r="C9" s="18" t="s">
        <v>101</v>
      </c>
      <c r="D9" s="18" t="s">
        <v>102</v>
      </c>
      <c r="E9" s="18" t="s">
        <v>103</v>
      </c>
      <c r="F9" s="18" t="s">
        <v>104</v>
      </c>
      <c r="G9" s="10" t="s">
        <v>18</v>
      </c>
      <c r="H9" s="17" t="s">
        <v>83</v>
      </c>
      <c r="I9" s="6" t="s">
        <v>71</v>
      </c>
    </row>
    <row r="10" ht="55" customHeight="1" spans="1:9">
      <c r="A10" s="7" t="s">
        <v>105</v>
      </c>
      <c r="B10" s="8" t="s">
        <v>24</v>
      </c>
      <c r="C10" s="8" t="s">
        <v>106</v>
      </c>
      <c r="D10" s="8" t="s">
        <v>107</v>
      </c>
      <c r="E10" s="8" t="s">
        <v>108</v>
      </c>
      <c r="F10" s="8" t="s">
        <v>109</v>
      </c>
      <c r="G10" s="10" t="s">
        <v>18</v>
      </c>
      <c r="H10" s="7" t="s">
        <v>70</v>
      </c>
      <c r="I10" s="6" t="s">
        <v>71</v>
      </c>
    </row>
    <row r="11" ht="55" customHeight="1" spans="1:9">
      <c r="A11" s="17" t="s">
        <v>110</v>
      </c>
      <c r="B11" s="18" t="s">
        <v>26</v>
      </c>
      <c r="C11" s="18" t="s">
        <v>111</v>
      </c>
      <c r="D11" s="18" t="s">
        <v>112</v>
      </c>
      <c r="E11" s="18" t="s">
        <v>113</v>
      </c>
      <c r="F11" s="18" t="s">
        <v>114</v>
      </c>
      <c r="G11" s="10" t="s">
        <v>18</v>
      </c>
      <c r="H11" s="17" t="s">
        <v>70</v>
      </c>
      <c r="I11" s="6" t="s">
        <v>71</v>
      </c>
    </row>
    <row r="12" ht="55" customHeight="1" spans="1:9">
      <c r="A12" s="7" t="s">
        <v>115</v>
      </c>
      <c r="B12" s="8" t="s">
        <v>26</v>
      </c>
      <c r="C12" s="8" t="s">
        <v>116</v>
      </c>
      <c r="D12" s="8" t="s">
        <v>117</v>
      </c>
      <c r="E12" s="8" t="s">
        <v>118</v>
      </c>
      <c r="F12" s="8" t="s">
        <v>119</v>
      </c>
      <c r="G12" s="10" t="s">
        <v>18</v>
      </c>
      <c r="H12" s="7" t="s">
        <v>83</v>
      </c>
      <c r="I12" s="6" t="s">
        <v>71</v>
      </c>
    </row>
    <row r="13" ht="55" customHeight="1" spans="1:9">
      <c r="A13" s="17" t="s">
        <v>120</v>
      </c>
      <c r="B13" s="18" t="s">
        <v>26</v>
      </c>
      <c r="C13" s="18" t="s">
        <v>121</v>
      </c>
      <c r="D13" s="18" t="s">
        <v>122</v>
      </c>
      <c r="E13" s="18" t="s">
        <v>123</v>
      </c>
      <c r="F13" s="18" t="s">
        <v>124</v>
      </c>
      <c r="G13" s="10" t="s">
        <v>18</v>
      </c>
      <c r="H13" s="17" t="s">
        <v>125</v>
      </c>
      <c r="I13" s="6" t="s">
        <v>71</v>
      </c>
    </row>
    <row r="14" ht="55" customHeight="1" spans="1:9">
      <c r="A14" s="7" t="s">
        <v>126</v>
      </c>
      <c r="B14" s="8" t="s">
        <v>30</v>
      </c>
      <c r="C14" s="8" t="s">
        <v>127</v>
      </c>
      <c r="D14" s="8" t="s">
        <v>128</v>
      </c>
      <c r="E14" s="8" t="s">
        <v>129</v>
      </c>
      <c r="F14" s="8" t="s">
        <v>130</v>
      </c>
      <c r="G14" s="19" t="s">
        <v>23</v>
      </c>
      <c r="H14" s="7" t="s">
        <v>83</v>
      </c>
      <c r="I14" s="6" t="s">
        <v>71</v>
      </c>
    </row>
    <row r="15" ht="55" customHeight="1" spans="1:9">
      <c r="A15" s="17" t="s">
        <v>131</v>
      </c>
      <c r="B15" s="18" t="s">
        <v>32</v>
      </c>
      <c r="C15" s="18" t="s">
        <v>132</v>
      </c>
      <c r="D15" s="18" t="s">
        <v>133</v>
      </c>
      <c r="E15" s="18" t="s">
        <v>134</v>
      </c>
      <c r="F15" s="18" t="s">
        <v>135</v>
      </c>
      <c r="G15" s="10" t="s">
        <v>18</v>
      </c>
      <c r="H15" s="17" t="s">
        <v>125</v>
      </c>
      <c r="I15" s="6" t="s">
        <v>71</v>
      </c>
    </row>
    <row r="16" ht="55" customHeight="1" spans="1:9">
      <c r="A16" s="7" t="s">
        <v>136</v>
      </c>
      <c r="B16" s="8" t="s">
        <v>32</v>
      </c>
      <c r="C16" s="8" t="s">
        <v>137</v>
      </c>
      <c r="D16" s="8" t="s">
        <v>138</v>
      </c>
      <c r="E16" s="8" t="s">
        <v>139</v>
      </c>
      <c r="F16" s="8" t="s">
        <v>140</v>
      </c>
      <c r="G16" s="10" t="s">
        <v>18</v>
      </c>
      <c r="H16" s="7" t="s">
        <v>125</v>
      </c>
      <c r="I16" s="6" t="s">
        <v>71</v>
      </c>
    </row>
    <row r="17" ht="55" customHeight="1" spans="1:10">
      <c r="A17" s="17" t="s">
        <v>141</v>
      </c>
      <c r="B17" s="18" t="s">
        <v>142</v>
      </c>
      <c r="C17" s="18" t="s">
        <v>143</v>
      </c>
      <c r="D17" s="18" t="s">
        <v>144</v>
      </c>
      <c r="E17" s="18" t="s">
        <v>145</v>
      </c>
      <c r="F17" s="18" t="s">
        <v>146</v>
      </c>
      <c r="G17" s="10" t="s">
        <v>18</v>
      </c>
      <c r="H17" s="17" t="s">
        <v>77</v>
      </c>
      <c r="I17" s="20" t="s">
        <v>147</v>
      </c>
    </row>
    <row r="18" ht="55" customHeight="1" spans="1:10">
      <c r="A18" s="7" t="s">
        <v>148</v>
      </c>
      <c r="B18" s="8" t="s">
        <v>125</v>
      </c>
      <c r="C18" s="8" t="s">
        <v>149</v>
      </c>
      <c r="D18" s="8" t="s">
        <v>150</v>
      </c>
      <c r="E18" s="8" t="s">
        <v>151</v>
      </c>
      <c r="F18" s="8" t="s">
        <v>152</v>
      </c>
      <c r="G18" s="10" t="s">
        <v>18</v>
      </c>
      <c r="H18" s="7" t="s">
        <v>125</v>
      </c>
      <c r="I18" s="6" t="s">
        <v>71</v>
      </c>
    </row>
    <row r="19" ht="20" customHeight="1" spans="1:10">
      <c r="A19" s="21" t="s">
        <v>153</v>
      </c>
      <c r="I19" s="14">
        <f>COUNTIF(I3:I18,"Pass")</f>
        <v>14</v>
      </c>
      <c r="J19" s="13">
        <f>COUNTIF(I3:I18,"Fail")</f>
        <v>1</v>
      </c>
    </row>
  </sheetData>
  <mergeCells count="2">
    <mergeCell ref="A1:J1"/>
    <mergeCell ref="A19:H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E6" sqref="E6"/>
    </sheetView>
  </sheetViews>
  <sheetFormatPr defaultColWidth="9" defaultRowHeight="14.4"/>
  <cols>
    <col min="1" max="1" width="10" customWidth="1"/>
    <col min="2" max="2" width="36" customWidth="1"/>
    <col min="3" max="3" width="18" customWidth="1"/>
    <col min="4" max="4" width="11" customWidth="1"/>
    <col min="5" max="5" width="10" customWidth="1"/>
    <col min="6" max="6" width="16" customWidth="1"/>
    <col min="7" max="7" width="38" customWidth="1"/>
    <col min="8" max="9" width="34" customWidth="1"/>
    <col min="10" max="11" width="10" customWidth="1"/>
    <col min="12" max="12" width="28" customWidth="1"/>
  </cols>
  <sheetData>
    <row r="1" ht="38" customHeight="1" spans="1:12">
      <c r="A1" s="1" t="s">
        <v>154</v>
      </c>
    </row>
    <row r="2" ht="30" customHeight="1" spans="1:12">
      <c r="A2" s="2" t="s">
        <v>155</v>
      </c>
      <c r="B2" s="2" t="s">
        <v>156</v>
      </c>
      <c r="C2" s="2" t="s">
        <v>13</v>
      </c>
      <c r="D2" s="2" t="s">
        <v>157</v>
      </c>
      <c r="E2" s="2" t="s">
        <v>61</v>
      </c>
      <c r="F2" s="2" t="s">
        <v>158</v>
      </c>
      <c r="G2" s="2" t="s">
        <v>159</v>
      </c>
      <c r="H2" s="2" t="s">
        <v>160</v>
      </c>
      <c r="I2" s="2" t="s">
        <v>60</v>
      </c>
      <c r="J2" s="2" t="s">
        <v>63</v>
      </c>
      <c r="K2" s="2" t="s">
        <v>161</v>
      </c>
      <c r="L2" s="2" t="s">
        <v>162</v>
      </c>
    </row>
    <row r="3" ht="65" customHeight="1" spans="1:12">
      <c r="A3" s="3" t="s">
        <v>163</v>
      </c>
      <c r="B3" s="4" t="s">
        <v>164</v>
      </c>
      <c r="C3" s="4" t="s">
        <v>125</v>
      </c>
      <c r="D3" s="5" t="s">
        <v>165</v>
      </c>
      <c r="E3" s="3" t="s">
        <v>18</v>
      </c>
      <c r="F3" s="4" t="s">
        <v>166</v>
      </c>
      <c r="G3" s="4" t="s">
        <v>167</v>
      </c>
      <c r="H3" s="4" t="s">
        <v>168</v>
      </c>
      <c r="I3" s="4" t="s">
        <v>169</v>
      </c>
      <c r="J3" s="6" t="s">
        <v>170</v>
      </c>
      <c r="K3" s="3" t="s">
        <v>171</v>
      </c>
      <c r="L3" s="4" t="s">
        <v>172</v>
      </c>
    </row>
    <row r="4" ht="65" customHeight="1" spans="1:12">
      <c r="A4" s="7" t="s">
        <v>173</v>
      </c>
      <c r="B4" s="8" t="s">
        <v>174</v>
      </c>
      <c r="C4" s="8" t="s">
        <v>28</v>
      </c>
      <c r="D4" s="9" t="s">
        <v>175</v>
      </c>
      <c r="E4" s="7" t="s">
        <v>23</v>
      </c>
      <c r="F4" s="8" t="s">
        <v>166</v>
      </c>
      <c r="G4" s="8" t="s">
        <v>176</v>
      </c>
      <c r="H4" s="8" t="s">
        <v>177</v>
      </c>
      <c r="I4" s="8" t="s">
        <v>178</v>
      </c>
      <c r="J4" s="6" t="s">
        <v>170</v>
      </c>
      <c r="K4" s="7" t="s">
        <v>171</v>
      </c>
      <c r="L4" s="8" t="s">
        <v>179</v>
      </c>
    </row>
    <row r="5" ht="65" customHeight="1" spans="1:12">
      <c r="A5" s="3" t="s">
        <v>180</v>
      </c>
      <c r="B5" s="4" t="s">
        <v>181</v>
      </c>
      <c r="C5" s="4" t="s">
        <v>19</v>
      </c>
      <c r="D5" s="5" t="s">
        <v>165</v>
      </c>
      <c r="E5" s="3" t="s">
        <v>18</v>
      </c>
      <c r="F5" s="4" t="s">
        <v>182</v>
      </c>
      <c r="G5" s="4" t="s">
        <v>183</v>
      </c>
      <c r="H5" s="4" t="s">
        <v>184</v>
      </c>
      <c r="I5" s="4" t="s">
        <v>185</v>
      </c>
      <c r="J5" s="10" t="s">
        <v>186</v>
      </c>
      <c r="K5" s="3" t="s">
        <v>187</v>
      </c>
      <c r="L5" s="4" t="s">
        <v>188</v>
      </c>
    </row>
    <row r="6" ht="65" customHeight="1" spans="1:12">
      <c r="A6" s="7" t="s">
        <v>189</v>
      </c>
      <c r="B6" s="8" t="s">
        <v>190</v>
      </c>
      <c r="C6" s="8" t="s">
        <v>191</v>
      </c>
      <c r="D6" s="5" t="s">
        <v>165</v>
      </c>
      <c r="E6" s="7" t="s">
        <v>18</v>
      </c>
      <c r="F6" s="8" t="s">
        <v>192</v>
      </c>
      <c r="G6" s="8" t="s">
        <v>193</v>
      </c>
      <c r="H6" s="8" t="s">
        <v>194</v>
      </c>
      <c r="I6" s="8" t="s">
        <v>195</v>
      </c>
      <c r="J6" s="10" t="s">
        <v>186</v>
      </c>
      <c r="K6" s="7" t="s">
        <v>187</v>
      </c>
      <c r="L6" s="8" t="s">
        <v>196</v>
      </c>
    </row>
    <row r="7" ht="65" customHeight="1" spans="1:12">
      <c r="A7" s="3" t="s">
        <v>197</v>
      </c>
      <c r="B7" s="4" t="s">
        <v>198</v>
      </c>
      <c r="C7" s="4" t="s">
        <v>30</v>
      </c>
      <c r="D7" s="9" t="s">
        <v>175</v>
      </c>
      <c r="E7" s="3" t="s">
        <v>23</v>
      </c>
      <c r="F7" s="4" t="s">
        <v>199</v>
      </c>
      <c r="G7" s="4" t="s">
        <v>200</v>
      </c>
      <c r="H7" s="4" t="s">
        <v>201</v>
      </c>
      <c r="I7" s="4" t="s">
        <v>202</v>
      </c>
      <c r="J7" s="10" t="s">
        <v>186</v>
      </c>
      <c r="K7" s="3" t="s">
        <v>187</v>
      </c>
      <c r="L7" s="4" t="s">
        <v>203</v>
      </c>
    </row>
    <row r="8" ht="65" customHeight="1" spans="1:12">
      <c r="A8" s="7" t="s">
        <v>204</v>
      </c>
      <c r="B8" s="8" t="s">
        <v>205</v>
      </c>
      <c r="C8" s="8" t="s">
        <v>206</v>
      </c>
      <c r="D8" s="11" t="s">
        <v>207</v>
      </c>
      <c r="E8" s="7" t="s">
        <v>208</v>
      </c>
      <c r="F8" s="8" t="s">
        <v>209</v>
      </c>
      <c r="G8" s="8" t="s">
        <v>210</v>
      </c>
      <c r="H8" s="8" t="s">
        <v>211</v>
      </c>
      <c r="I8" s="8" t="s">
        <v>212</v>
      </c>
      <c r="J8" s="10" t="s">
        <v>186</v>
      </c>
      <c r="K8" s="7" t="s">
        <v>187</v>
      </c>
      <c r="L8" s="8" t="s">
        <v>213</v>
      </c>
    </row>
    <row r="9" ht="20" customHeight="1" spans="1:12">
      <c r="A9" s="12" t="s">
        <v>153</v>
      </c>
      <c r="J9" s="13">
        <f>COUNTIF(J3:J8,"Open")</f>
        <v>4</v>
      </c>
      <c r="K9" s="14">
        <f>COUNTIF(J3:J8,"Fixed")</f>
        <v>2</v>
      </c>
      <c r="L9" s="15">
        <f>COUNTA(A3:A8)</f>
        <v>6</v>
      </c>
    </row>
  </sheetData>
  <mergeCells count="2">
    <mergeCell ref="A1:L1"/>
    <mergeCell ref="A9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PLAN</vt:lpstr>
      <vt:lpstr>TEST CASES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google1570113169</cp:lastModifiedBy>
  <dcterms:created xsi:type="dcterms:W3CDTF">2026-05-05T13:35:00Z</dcterms:created>
  <dcterms:modified xsi:type="dcterms:W3CDTF">2026-05-05T14:06:07Z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EDE27E3C11014C7FA3920D884C5A548C_12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